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park\Documents\GitHub\nabilfesal-msm-fw\docs\Dev-Files\"/>
    </mc:Choice>
  </mc:AlternateContent>
  <bookViews>
    <workbookView xWindow="0" yWindow="0" windowWidth="28800" windowHeight="12915" activeTab="1"/>
  </bookViews>
  <sheets>
    <sheet name="Existing" sheetId="1" r:id="rId1"/>
    <sheet name="New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1" i="1" l="1"/>
  <c r="B40" i="1"/>
  <c r="C39" i="1"/>
  <c r="C40" i="1" s="1"/>
  <c r="C41" i="1" s="1"/>
  <c r="B39" i="1"/>
  <c r="C39" i="2"/>
  <c r="C40" i="2"/>
  <c r="C41" i="2" s="1"/>
  <c r="B40" i="2"/>
  <c r="B41" i="2"/>
  <c r="B39" i="2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3" i="2"/>
  <c r="B19" i="2"/>
  <c r="B18" i="2"/>
  <c r="B17" i="2"/>
  <c r="B31" i="2"/>
  <c r="B30" i="2"/>
  <c r="B29" i="2"/>
  <c r="B10" i="2"/>
  <c r="B9" i="2"/>
  <c r="B8" i="2"/>
  <c r="B7" i="2"/>
  <c r="B6" i="2"/>
  <c r="B5" i="2"/>
  <c r="C19" i="2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B4" i="2"/>
  <c r="C18" i="2"/>
  <c r="B3" i="2"/>
  <c r="B2" i="2"/>
  <c r="B37" i="2"/>
  <c r="B36" i="2"/>
  <c r="B35" i="2"/>
  <c r="B34" i="2"/>
  <c r="B33" i="2"/>
  <c r="B32" i="2"/>
  <c r="B28" i="2"/>
  <c r="B27" i="2"/>
  <c r="B26" i="2"/>
  <c r="B25" i="2"/>
  <c r="B24" i="2"/>
  <c r="B23" i="2"/>
  <c r="B22" i="2"/>
  <c r="B21" i="2"/>
  <c r="B20" i="2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32" i="1"/>
  <c r="B33" i="1"/>
  <c r="B34" i="1"/>
  <c r="B35" i="1"/>
  <c r="B36" i="1"/>
  <c r="B37" i="1"/>
  <c r="C38" i="1"/>
  <c r="C35" i="1"/>
  <c r="C36" i="1" s="1"/>
  <c r="C37" i="1" s="1"/>
  <c r="C32" i="1"/>
  <c r="C33" i="1" s="1"/>
  <c r="C34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8" i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</calcChain>
</file>

<file path=xl/sharedStrings.xml><?xml version="1.0" encoding="utf-8"?>
<sst xmlns="http://schemas.openxmlformats.org/spreadsheetml/2006/main" count="67" uniqueCount="39">
  <si>
    <t>RMS</t>
  </si>
  <si>
    <t>Voltage</t>
  </si>
  <si>
    <t>A</t>
  </si>
  <si>
    <t>B</t>
  </si>
  <si>
    <t>C</t>
  </si>
  <si>
    <t>Current</t>
  </si>
  <si>
    <t>Line</t>
  </si>
  <si>
    <t>Freq</t>
  </si>
  <si>
    <t>Power</t>
  </si>
  <si>
    <t>Energy</t>
  </si>
  <si>
    <t>Active</t>
  </si>
  <si>
    <t>Address</t>
  </si>
  <si>
    <t>Bytes</t>
  </si>
  <si>
    <t>Reactive</t>
  </si>
  <si>
    <t>Apparent</t>
  </si>
  <si>
    <t>Factor</t>
  </si>
  <si>
    <t>Pos</t>
  </si>
  <si>
    <t>Neg</t>
  </si>
  <si>
    <t>Voltage Threshold A</t>
  </si>
  <si>
    <t>Voltage Threshold B</t>
  </si>
  <si>
    <t>Voltage Threshold C</t>
  </si>
  <si>
    <t>Current Threshold A</t>
  </si>
  <si>
    <t>Current Threshold B</t>
  </si>
  <si>
    <t>Current Threshold C</t>
  </si>
  <si>
    <t>Temperature</t>
  </si>
  <si>
    <t>Keys</t>
  </si>
  <si>
    <t>GENERAL</t>
  </si>
  <si>
    <t>POWER</t>
  </si>
  <si>
    <t>ENERGY</t>
  </si>
  <si>
    <t>UART CONFIGURATIONS</t>
  </si>
  <si>
    <t>Baudrate</t>
  </si>
  <si>
    <t>Rx</t>
  </si>
  <si>
    <t>UART_TXD</t>
  </si>
  <si>
    <t>Tx</t>
  </si>
  <si>
    <t>UART_RXD</t>
  </si>
  <si>
    <t>Parity</t>
  </si>
  <si>
    <t>Stop Bit</t>
  </si>
  <si>
    <t>None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</si>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</sst>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41"/>
  <sheetViews>
    <sheetView workbookViewId="0">
      <selection activeCell="U7" sqref="U7:Y12"/>
    </sheetView>
  </sheetViews>
  <sheetFormatPr defaultRowHeight="15" x14ac:dyDescent="0.25"/>
  <cols>
    <col min="2" max="2" width="19" bestFit="1" customWidth="1"/>
    <col min="3" max="3" width="10.5703125" bestFit="1" customWidth="1"/>
  </cols>
  <sheetData>
    <row r="1" spans="2:25" ht="18.75" x14ac:dyDescent="0.25">
      <c r="B1" s="1" t="s">
        <v>25</v>
      </c>
      <c r="C1" s="2" t="s">
        <v>11</v>
      </c>
      <c r="D1" s="1" t="s">
        <v>12</v>
      </c>
    </row>
    <row r="2" spans="2:25" x14ac:dyDescent="0.25">
      <c r="B2" t="str">
        <f>CONCATENATE($X$7," ",$U$10," ",W7)</f>
        <v>Active Power A</v>
      </c>
      <c r="C2">
        <v>1</v>
      </c>
      <c r="D2">
        <v>4</v>
      </c>
    </row>
    <row r="3" spans="2:25" x14ac:dyDescent="0.25">
      <c r="B3" t="str">
        <f>CONCATENATE($X$7," ",$U$10," ",W8)</f>
        <v>Active Power B</v>
      </c>
      <c r="C3">
        <f>C2+4</f>
        <v>5</v>
      </c>
      <c r="D3">
        <v>4</v>
      </c>
    </row>
    <row r="4" spans="2:25" x14ac:dyDescent="0.25">
      <c r="B4" t="str">
        <f>CONCATENATE($X$7," ",$U$10," ",W9)</f>
        <v>Active Power C</v>
      </c>
      <c r="C4">
        <f t="shared" ref="C4:C16" si="0">C3+4</f>
        <v>9</v>
      </c>
      <c r="D4">
        <v>4</v>
      </c>
    </row>
    <row r="5" spans="2:25" x14ac:dyDescent="0.25">
      <c r="B5" t="str">
        <f>CONCATENATE($X$8," ",$U$10," ",W7)</f>
        <v>Reactive Power A</v>
      </c>
      <c r="C5">
        <f t="shared" si="0"/>
        <v>13</v>
      </c>
      <c r="D5">
        <v>4</v>
      </c>
    </row>
    <row r="6" spans="2:25" x14ac:dyDescent="0.25">
      <c r="B6" t="str">
        <f t="shared" ref="B6:B7" si="1">CONCATENATE($X$8," ",$U$10," ",W8)</f>
        <v>Reactive Power B</v>
      </c>
      <c r="C6">
        <f t="shared" si="0"/>
        <v>17</v>
      </c>
      <c r="D6">
        <v>4</v>
      </c>
    </row>
    <row r="7" spans="2:25" x14ac:dyDescent="0.25">
      <c r="B7" t="str">
        <f t="shared" si="1"/>
        <v>Reactive Power C</v>
      </c>
      <c r="C7">
        <f t="shared" si="0"/>
        <v>21</v>
      </c>
      <c r="D7">
        <v>4</v>
      </c>
      <c r="U7" t="s">
        <v>1</v>
      </c>
      <c r="V7" t="s">
        <v>0</v>
      </c>
      <c r="W7" t="s">
        <v>2</v>
      </c>
      <c r="X7" t="s">
        <v>10</v>
      </c>
      <c r="Y7" t="s">
        <v>16</v>
      </c>
    </row>
    <row r="8" spans="2:25" x14ac:dyDescent="0.25">
      <c r="B8" t="str">
        <f>CONCATENATE($X$9," ",$U$10," ",W7)</f>
        <v>Apparent Power A</v>
      </c>
      <c r="C8">
        <f t="shared" si="0"/>
        <v>25</v>
      </c>
      <c r="D8">
        <v>4</v>
      </c>
      <c r="U8" t="s">
        <v>5</v>
      </c>
      <c r="V8" t="s">
        <v>6</v>
      </c>
      <c r="W8" t="s">
        <v>3</v>
      </c>
      <c r="X8" t="s">
        <v>13</v>
      </c>
      <c r="Y8" t="s">
        <v>17</v>
      </c>
    </row>
    <row r="9" spans="2:25" x14ac:dyDescent="0.25">
      <c r="B9" t="str">
        <f t="shared" ref="B9:B10" si="2">CONCATENATE($X$9," ",$U$10," ",W8)</f>
        <v>Apparent Power B</v>
      </c>
      <c r="C9">
        <f t="shared" si="0"/>
        <v>29</v>
      </c>
      <c r="D9">
        <v>4</v>
      </c>
      <c r="U9" t="s">
        <v>7</v>
      </c>
      <c r="W9" t="s">
        <v>4</v>
      </c>
      <c r="X9" t="s">
        <v>14</v>
      </c>
    </row>
    <row r="10" spans="2:25" x14ac:dyDescent="0.25">
      <c r="B10" t="str">
        <f t="shared" si="2"/>
        <v>Apparent Power C</v>
      </c>
      <c r="C10">
        <f t="shared" si="0"/>
        <v>33</v>
      </c>
      <c r="D10">
        <v>4</v>
      </c>
      <c r="U10" t="s">
        <v>8</v>
      </c>
      <c r="X10" t="s">
        <v>15</v>
      </c>
    </row>
    <row r="11" spans="2:25" x14ac:dyDescent="0.25">
      <c r="B11" t="str">
        <f>CONCATENATE($Y$7," ",$X$7," ",$U$11," ",W7)</f>
        <v>Pos Active Energy A</v>
      </c>
      <c r="C11">
        <f t="shared" si="0"/>
        <v>37</v>
      </c>
      <c r="D11">
        <v>4</v>
      </c>
      <c r="U11" t="s">
        <v>9</v>
      </c>
    </row>
    <row r="12" spans="2:25" x14ac:dyDescent="0.25">
      <c r="B12" t="str">
        <f>CONCATENATE($Y$7," ",$X$7," ",$U$11," ",W8)</f>
        <v>Pos Active Energy B</v>
      </c>
      <c r="C12">
        <f t="shared" si="0"/>
        <v>41</v>
      </c>
      <c r="D12">
        <v>4</v>
      </c>
      <c r="U12" t="s">
        <v>38</v>
      </c>
    </row>
    <row r="13" spans="2:25" x14ac:dyDescent="0.25">
      <c r="B13" t="str">
        <f>CONCATENATE($Y$7," ",$X$7," ",$U$11," ",W9)</f>
        <v>Pos Active Energy C</v>
      </c>
      <c r="C13">
        <f t="shared" si="0"/>
        <v>45</v>
      </c>
      <c r="D13">
        <v>4</v>
      </c>
    </row>
    <row r="14" spans="2:25" x14ac:dyDescent="0.25">
      <c r="B14" t="str">
        <f>CONCATENATE($Y$8," ",$X$7," ",$U$11," ",W7)</f>
        <v>Neg Active Energy A</v>
      </c>
      <c r="C14">
        <f t="shared" si="0"/>
        <v>49</v>
      </c>
      <c r="D14">
        <v>4</v>
      </c>
    </row>
    <row r="15" spans="2:25" x14ac:dyDescent="0.25">
      <c r="B15" t="str">
        <f>CONCATENATE($Y$8," ",$X$7," ",$U$11," ",W8)</f>
        <v>Neg Active Energy B</v>
      </c>
      <c r="C15">
        <f t="shared" si="0"/>
        <v>53</v>
      </c>
      <c r="D15">
        <v>4</v>
      </c>
    </row>
    <row r="16" spans="2:25" x14ac:dyDescent="0.25">
      <c r="B16" t="str">
        <f>CONCATENATE($Y$8," ",$X$7," ",$U$11," ",W9)</f>
        <v>Neg Active Energy C</v>
      </c>
      <c r="C16">
        <f t="shared" si="0"/>
        <v>57</v>
      </c>
      <c r="D16">
        <v>4</v>
      </c>
    </row>
    <row r="17" spans="2:4" x14ac:dyDescent="0.25">
      <c r="B17" t="str">
        <f>CONCATENATE($U$7," ",$V$7," ",W7)</f>
        <v>Voltage RMS A</v>
      </c>
      <c r="C17">
        <v>61</v>
      </c>
      <c r="D17">
        <v>4</v>
      </c>
    </row>
    <row r="18" spans="2:4" x14ac:dyDescent="0.25">
      <c r="B18" t="str">
        <f>CONCATENATE($U$7," ",$V$7," ",W8)</f>
        <v>Voltage RMS B</v>
      </c>
      <c r="C18">
        <f>C17+4</f>
        <v>65</v>
      </c>
      <c r="D18">
        <v>4</v>
      </c>
    </row>
    <row r="19" spans="2:4" x14ac:dyDescent="0.25">
      <c r="B19" t="str">
        <f>CONCATENATE($U$7," ",$V$7," ",W9)</f>
        <v>Voltage RMS C</v>
      </c>
      <c r="C19">
        <f t="shared" ref="C19:C41" si="3">C18+4</f>
        <v>69</v>
      </c>
      <c r="D19">
        <v>4</v>
      </c>
    </row>
    <row r="20" spans="2:4" x14ac:dyDescent="0.25">
      <c r="B20" t="str">
        <f>CONCATENATE($U$7," ",$V$8," ",W7)</f>
        <v>Voltage Line A</v>
      </c>
      <c r="C20">
        <f t="shared" si="3"/>
        <v>73</v>
      </c>
      <c r="D20">
        <v>4</v>
      </c>
    </row>
    <row r="21" spans="2:4" x14ac:dyDescent="0.25">
      <c r="B21" t="str">
        <f>CONCATENATE($U$7," ",$V$8," ",W8)</f>
        <v>Voltage Line B</v>
      </c>
      <c r="C21">
        <f t="shared" si="3"/>
        <v>77</v>
      </c>
      <c r="D21">
        <v>4</v>
      </c>
    </row>
    <row r="22" spans="2:4" x14ac:dyDescent="0.25">
      <c r="B22" t="str">
        <f>CONCATENATE($U$7," ",$V$8," ",W9)</f>
        <v>Voltage Line C</v>
      </c>
      <c r="C22">
        <f t="shared" si="3"/>
        <v>81</v>
      </c>
      <c r="D22">
        <v>4</v>
      </c>
    </row>
    <row r="23" spans="2:4" x14ac:dyDescent="0.25">
      <c r="B23" t="str">
        <f>CONCATENATE($U$8," ",$V$7," ",W7)</f>
        <v>Current RMS A</v>
      </c>
      <c r="C23">
        <f t="shared" si="3"/>
        <v>85</v>
      </c>
      <c r="D23">
        <v>4</v>
      </c>
    </row>
    <row r="24" spans="2:4" x14ac:dyDescent="0.25">
      <c r="B24" t="str">
        <f>CONCATENATE($U$8," ",$V$7," ",W8)</f>
        <v>Current RMS B</v>
      </c>
      <c r="C24">
        <f t="shared" si="3"/>
        <v>89</v>
      </c>
      <c r="D24">
        <v>4</v>
      </c>
    </row>
    <row r="25" spans="2:4" x14ac:dyDescent="0.25">
      <c r="B25" t="str">
        <f>CONCATENATE($U$8," ",$V$7," ",W9)</f>
        <v>Current RMS C</v>
      </c>
      <c r="C25">
        <f t="shared" si="3"/>
        <v>93</v>
      </c>
      <c r="D25">
        <v>4</v>
      </c>
    </row>
    <row r="26" spans="2:4" x14ac:dyDescent="0.25">
      <c r="B26" t="s">
        <v>18</v>
      </c>
      <c r="C26">
        <f t="shared" si="3"/>
        <v>97</v>
      </c>
      <c r="D26">
        <v>4</v>
      </c>
    </row>
    <row r="27" spans="2:4" x14ac:dyDescent="0.25">
      <c r="B27" t="s">
        <v>19</v>
      </c>
      <c r="C27">
        <f t="shared" si="3"/>
        <v>101</v>
      </c>
      <c r="D27">
        <v>4</v>
      </c>
    </row>
    <row r="28" spans="2:4" x14ac:dyDescent="0.25">
      <c r="B28" t="s">
        <v>20</v>
      </c>
      <c r="C28">
        <f t="shared" si="3"/>
        <v>105</v>
      </c>
      <c r="D28">
        <v>4</v>
      </c>
    </row>
    <row r="29" spans="2:4" x14ac:dyDescent="0.25">
      <c r="B29" t="s">
        <v>21</v>
      </c>
      <c r="C29">
        <f t="shared" si="3"/>
        <v>109</v>
      </c>
      <c r="D29">
        <v>4</v>
      </c>
    </row>
    <row r="30" spans="2:4" x14ac:dyDescent="0.25">
      <c r="B30" t="s">
        <v>22</v>
      </c>
      <c r="C30">
        <f t="shared" si="3"/>
        <v>113</v>
      </c>
      <c r="D30">
        <v>4</v>
      </c>
    </row>
    <row r="31" spans="2:4" x14ac:dyDescent="0.25">
      <c r="B31" t="s">
        <v>23</v>
      </c>
      <c r="C31">
        <f t="shared" si="3"/>
        <v>117</v>
      </c>
      <c r="D31">
        <v>4</v>
      </c>
    </row>
    <row r="32" spans="2:4" x14ac:dyDescent="0.25">
      <c r="B32" t="str">
        <f>CONCATENATE($U$10," ",$X$10," ",W7)</f>
        <v>Power Factor A</v>
      </c>
      <c r="C32">
        <f t="shared" si="3"/>
        <v>121</v>
      </c>
      <c r="D32">
        <v>4</v>
      </c>
    </row>
    <row r="33" spans="2:4" x14ac:dyDescent="0.25">
      <c r="B33" t="str">
        <f>CONCATENATE($U$10," ",$X$10," ",W8)</f>
        <v>Power Factor B</v>
      </c>
      <c r="C33">
        <f t="shared" si="3"/>
        <v>125</v>
      </c>
      <c r="D33">
        <v>4</v>
      </c>
    </row>
    <row r="34" spans="2:4" x14ac:dyDescent="0.25">
      <c r="B34" t="str">
        <f>CONCATENATE($U$10," ",$X$10," ",W9)</f>
        <v>Power Factor C</v>
      </c>
      <c r="C34">
        <f t="shared" si="3"/>
        <v>129</v>
      </c>
      <c r="D34">
        <v>4</v>
      </c>
    </row>
    <row r="35" spans="2:4" x14ac:dyDescent="0.25">
      <c r="B35" t="str">
        <f>CONCATENATE($U$9," ",$V$7," ",W7)</f>
        <v>Freq RMS A</v>
      </c>
      <c r="C35">
        <f t="shared" si="3"/>
        <v>133</v>
      </c>
      <c r="D35">
        <v>4</v>
      </c>
    </row>
    <row r="36" spans="2:4" x14ac:dyDescent="0.25">
      <c r="B36" t="str">
        <f>CONCATENATE($U$9," ",$V$7," ",W8)</f>
        <v>Freq RMS B</v>
      </c>
      <c r="C36">
        <f t="shared" si="3"/>
        <v>137</v>
      </c>
      <c r="D36">
        <v>4</v>
      </c>
    </row>
    <row r="37" spans="2:4" x14ac:dyDescent="0.25">
      <c r="B37" t="str">
        <f>CONCATENATE($U$9," ",$V$7," ",W9)</f>
        <v>Freq RMS C</v>
      </c>
      <c r="C37">
        <f t="shared" si="3"/>
        <v>141</v>
      </c>
      <c r="D37">
        <v>4</v>
      </c>
    </row>
    <row r="38" spans="2:4" x14ac:dyDescent="0.25">
      <c r="B38" t="s">
        <v>24</v>
      </c>
      <c r="C38">
        <f t="shared" si="3"/>
        <v>145</v>
      </c>
      <c r="D38">
        <v>4</v>
      </c>
    </row>
    <row r="39" spans="2:4" x14ac:dyDescent="0.25">
      <c r="B39" t="str">
        <f>CONCATENATE($U$12," ",W7)</f>
        <v>Angle A</v>
      </c>
      <c r="C39">
        <f t="shared" si="3"/>
        <v>149</v>
      </c>
      <c r="D39">
        <v>4</v>
      </c>
    </row>
    <row r="40" spans="2:4" x14ac:dyDescent="0.25">
      <c r="B40" t="str">
        <f t="shared" ref="B40:B41" si="4">CONCATENATE($U$12," ",W8)</f>
        <v>Angle B</v>
      </c>
      <c r="C40">
        <f t="shared" si="3"/>
        <v>153</v>
      </c>
      <c r="D40">
        <v>4</v>
      </c>
    </row>
    <row r="41" spans="2:4" x14ac:dyDescent="0.25">
      <c r="B41" t="str">
        <f t="shared" si="4"/>
        <v>Angle C</v>
      </c>
      <c r="C41">
        <f t="shared" si="3"/>
        <v>157</v>
      </c>
      <c r="D41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tabSelected="1" workbookViewId="0">
      <selection activeCell="J15" sqref="J15"/>
    </sheetView>
  </sheetViews>
  <sheetFormatPr defaultRowHeight="15" x14ac:dyDescent="0.25"/>
  <cols>
    <col min="2" max="2" width="19.140625" bestFit="1" customWidth="1"/>
    <col min="3" max="3" width="10.5703125" bestFit="1" customWidth="1"/>
    <col min="4" max="4" width="7.7109375" bestFit="1" customWidth="1"/>
    <col min="6" max="6" width="15.28515625" customWidth="1"/>
    <col min="7" max="7" width="14.28515625" customWidth="1"/>
    <col min="9" max="9" width="16.5703125" customWidth="1"/>
    <col min="10" max="10" width="17.5703125" customWidth="1"/>
  </cols>
  <sheetData>
    <row r="1" spans="1:25" ht="18.75" x14ac:dyDescent="0.25">
      <c r="B1" s="1" t="s">
        <v>25</v>
      </c>
      <c r="C1" s="2" t="s">
        <v>11</v>
      </c>
      <c r="D1" s="1" t="s">
        <v>12</v>
      </c>
      <c r="K1" s="2"/>
      <c r="L1" s="2"/>
    </row>
    <row r="2" spans="1:25" x14ac:dyDescent="0.25">
      <c r="A2" s="3" t="s">
        <v>26</v>
      </c>
      <c r="B2" t="str">
        <f>CONCATENATE($U$7," ",$V$7," ",W7)</f>
        <v>Voltage RMS A</v>
      </c>
      <c r="C2">
        <v>1</v>
      </c>
      <c r="D2">
        <v>4</v>
      </c>
    </row>
    <row r="3" spans="1:25" x14ac:dyDescent="0.25">
      <c r="A3" s="3"/>
      <c r="B3" t="str">
        <f>CONCATENATE($U$7," ",$V$7," ",W8)</f>
        <v>Voltage RMS B</v>
      </c>
      <c r="C3">
        <f>C2+4</f>
        <v>5</v>
      </c>
      <c r="D3">
        <v>4</v>
      </c>
    </row>
    <row r="4" spans="1:25" x14ac:dyDescent="0.25">
      <c r="A4" s="3"/>
      <c r="B4" t="str">
        <f>CONCATENATE($U$7," ",$V$7," ",W9)</f>
        <v>Voltage RMS C</v>
      </c>
      <c r="C4">
        <f t="shared" ref="C4:C16" si="0">C3+4</f>
        <v>9</v>
      </c>
      <c r="D4">
        <v>4</v>
      </c>
    </row>
    <row r="5" spans="1:25" x14ac:dyDescent="0.25">
      <c r="A5" s="3"/>
      <c r="B5" t="str">
        <f>CONCATENATE($U$7," ",$V$8," ",W7)</f>
        <v>Voltage Line A</v>
      </c>
      <c r="C5">
        <f t="shared" si="0"/>
        <v>13</v>
      </c>
      <c r="D5">
        <v>4</v>
      </c>
    </row>
    <row r="6" spans="1:25" x14ac:dyDescent="0.25">
      <c r="A6" s="3"/>
      <c r="B6" t="str">
        <f>CONCATENATE($U$7," ",$V$8," ",W8)</f>
        <v>Voltage Line B</v>
      </c>
      <c r="C6">
        <f t="shared" si="0"/>
        <v>17</v>
      </c>
      <c r="D6">
        <v>4</v>
      </c>
    </row>
    <row r="7" spans="1:25" x14ac:dyDescent="0.25">
      <c r="A7" s="3"/>
      <c r="B7" t="str">
        <f>CONCATENATE($U$7," ",$V$8," ",W9)</f>
        <v>Voltage Line C</v>
      </c>
      <c r="C7">
        <f t="shared" si="0"/>
        <v>21</v>
      </c>
      <c r="D7">
        <v>4</v>
      </c>
      <c r="U7" t="s">
        <v>1</v>
      </c>
      <c r="V7" t="s">
        <v>0</v>
      </c>
      <c r="W7" t="s">
        <v>2</v>
      </c>
      <c r="X7" t="s">
        <v>10</v>
      </c>
      <c r="Y7" t="s">
        <v>16</v>
      </c>
    </row>
    <row r="8" spans="1:25" x14ac:dyDescent="0.25">
      <c r="A8" s="3"/>
      <c r="B8" t="str">
        <f>CONCATENATE($U$8," ",$V$7," ",W7)</f>
        <v>Current RMS A</v>
      </c>
      <c r="C8">
        <f t="shared" si="0"/>
        <v>25</v>
      </c>
      <c r="D8">
        <v>4</v>
      </c>
      <c r="U8" t="s">
        <v>5</v>
      </c>
      <c r="V8" t="s">
        <v>6</v>
      </c>
      <c r="W8" t="s">
        <v>3</v>
      </c>
      <c r="X8" t="s">
        <v>13</v>
      </c>
      <c r="Y8" t="s">
        <v>17</v>
      </c>
    </row>
    <row r="9" spans="1:25" x14ac:dyDescent="0.25">
      <c r="A9" s="3"/>
      <c r="B9" t="str">
        <f>CONCATENATE($U$8," ",$V$7," ",W8)</f>
        <v>Current RMS B</v>
      </c>
      <c r="C9">
        <f t="shared" si="0"/>
        <v>29</v>
      </c>
      <c r="D9">
        <v>4</v>
      </c>
      <c r="U9" t="s">
        <v>7</v>
      </c>
      <c r="W9" t="s">
        <v>4</v>
      </c>
      <c r="X9" t="s">
        <v>14</v>
      </c>
    </row>
    <row r="10" spans="1:25" x14ac:dyDescent="0.25">
      <c r="A10" s="3"/>
      <c r="B10" t="str">
        <f>CONCATENATE($U$8," ",$V$7," ",W9)</f>
        <v>Current RMS C</v>
      </c>
      <c r="C10">
        <f t="shared" si="0"/>
        <v>33</v>
      </c>
      <c r="D10">
        <v>4</v>
      </c>
      <c r="U10" t="s">
        <v>8</v>
      </c>
      <c r="X10" t="s">
        <v>15</v>
      </c>
    </row>
    <row r="11" spans="1:25" ht="15.75" thickBot="1" x14ac:dyDescent="0.3">
      <c r="A11" s="3"/>
      <c r="B11" t="s">
        <v>18</v>
      </c>
      <c r="C11">
        <f t="shared" si="0"/>
        <v>37</v>
      </c>
      <c r="D11">
        <v>4</v>
      </c>
      <c r="U11" t="s">
        <v>9</v>
      </c>
    </row>
    <row r="12" spans="1:25" ht="19.5" thickBot="1" x14ac:dyDescent="0.3">
      <c r="A12" s="3"/>
      <c r="B12" t="s">
        <v>19</v>
      </c>
      <c r="C12">
        <f t="shared" si="0"/>
        <v>41</v>
      </c>
      <c r="D12">
        <v>4</v>
      </c>
      <c r="F12" s="12" t="s">
        <v>29</v>
      </c>
      <c r="G12" s="13"/>
      <c r="U12" t="s">
        <v>38</v>
      </c>
    </row>
    <row r="13" spans="1:25" x14ac:dyDescent="0.25">
      <c r="A13" s="3"/>
      <c r="B13" t="s">
        <v>20</v>
      </c>
      <c r="C13">
        <f t="shared" si="0"/>
        <v>45</v>
      </c>
      <c r="D13">
        <v>4</v>
      </c>
      <c r="F13" s="10" t="s">
        <v>30</v>
      </c>
      <c r="G13" s="11">
        <v>115200</v>
      </c>
    </row>
    <row r="14" spans="1:25" x14ac:dyDescent="0.25">
      <c r="A14" s="3"/>
      <c r="B14" t="s">
        <v>21</v>
      </c>
      <c r="C14">
        <f t="shared" si="0"/>
        <v>49</v>
      </c>
      <c r="D14">
        <v>4</v>
      </c>
      <c r="F14" s="6" t="s">
        <v>35</v>
      </c>
      <c r="G14" s="7" t="s">
        <v>37</v>
      </c>
    </row>
    <row r="15" spans="1:25" x14ac:dyDescent="0.25">
      <c r="A15" s="3"/>
      <c r="B15" t="s">
        <v>22</v>
      </c>
      <c r="C15">
        <f t="shared" si="0"/>
        <v>53</v>
      </c>
      <c r="D15">
        <v>4</v>
      </c>
      <c r="F15" s="6" t="s">
        <v>36</v>
      </c>
      <c r="G15" s="7">
        <v>1</v>
      </c>
    </row>
    <row r="16" spans="1:25" x14ac:dyDescent="0.25">
      <c r="A16" s="3"/>
      <c r="B16" t="s">
        <v>23</v>
      </c>
      <c r="C16">
        <f t="shared" si="0"/>
        <v>57</v>
      </c>
      <c r="D16">
        <v>4</v>
      </c>
      <c r="F16" s="6" t="s">
        <v>31</v>
      </c>
      <c r="G16" s="7" t="s">
        <v>32</v>
      </c>
    </row>
    <row r="17" spans="1:7" ht="15.75" thickBot="1" x14ac:dyDescent="0.3">
      <c r="A17" s="3"/>
      <c r="B17" t="str">
        <f>CONCATENATE($U$9," ",$V$7," ",W7)</f>
        <v>Freq RMS A</v>
      </c>
      <c r="C17">
        <v>61</v>
      </c>
      <c r="D17">
        <v>4</v>
      </c>
      <c r="F17" s="8" t="s">
        <v>33</v>
      </c>
      <c r="G17" s="9" t="s">
        <v>34</v>
      </c>
    </row>
    <row r="18" spans="1:7" x14ac:dyDescent="0.25">
      <c r="A18" s="3"/>
      <c r="B18" t="str">
        <f>CONCATENATE($U$9," ",$V$7," ",W8)</f>
        <v>Freq RMS B</v>
      </c>
      <c r="C18">
        <f>C17+4</f>
        <v>65</v>
      </c>
      <c r="D18">
        <v>4</v>
      </c>
    </row>
    <row r="19" spans="1:7" x14ac:dyDescent="0.25">
      <c r="A19" s="3"/>
      <c r="B19" t="str">
        <f>CONCATENATE($U$9," ",$V$7," ",W9)</f>
        <v>Freq RMS C</v>
      </c>
      <c r="C19">
        <f t="shared" ref="C19:C41" si="1">C18+4</f>
        <v>69</v>
      </c>
      <c r="D19">
        <v>4</v>
      </c>
    </row>
    <row r="20" spans="1:7" x14ac:dyDescent="0.25">
      <c r="A20" s="4" t="s">
        <v>27</v>
      </c>
      <c r="B20" t="str">
        <f>CONCATENATE($X$7," ",$U$10," ",W7)</f>
        <v>Active Power A</v>
      </c>
      <c r="C20">
        <f t="shared" si="1"/>
        <v>73</v>
      </c>
      <c r="D20">
        <v>4</v>
      </c>
    </row>
    <row r="21" spans="1:7" x14ac:dyDescent="0.25">
      <c r="A21" s="4"/>
      <c r="B21" t="str">
        <f>CONCATENATE($X$7," ",$U$10," ",W8)</f>
        <v>Active Power B</v>
      </c>
      <c r="C21">
        <f t="shared" si="1"/>
        <v>77</v>
      </c>
      <c r="D21">
        <v>4</v>
      </c>
    </row>
    <row r="22" spans="1:7" x14ac:dyDescent="0.25">
      <c r="A22" s="4"/>
      <c r="B22" t="str">
        <f>CONCATENATE($X$7," ",$U$10," ",W9)</f>
        <v>Active Power C</v>
      </c>
      <c r="C22">
        <f t="shared" si="1"/>
        <v>81</v>
      </c>
      <c r="D22">
        <v>4</v>
      </c>
    </row>
    <row r="23" spans="1:7" x14ac:dyDescent="0.25">
      <c r="A23" s="4"/>
      <c r="B23" t="str">
        <f>CONCATENATE($X$8," ",$U$10," ",W7)</f>
        <v>Reactive Power A</v>
      </c>
      <c r="C23">
        <f t="shared" si="1"/>
        <v>85</v>
      </c>
      <c r="D23">
        <v>4</v>
      </c>
    </row>
    <row r="24" spans="1:7" x14ac:dyDescent="0.25">
      <c r="A24" s="4"/>
      <c r="B24" t="str">
        <f>CONCATENATE($X$8," ",$U$10," ",W8)</f>
        <v>Reactive Power B</v>
      </c>
      <c r="C24">
        <f t="shared" si="1"/>
        <v>89</v>
      </c>
      <c r="D24">
        <v>4</v>
      </c>
    </row>
    <row r="25" spans="1:7" x14ac:dyDescent="0.25">
      <c r="A25" s="4"/>
      <c r="B25" t="str">
        <f>CONCATENATE($X$8," ",$U$10," ",W9)</f>
        <v>Reactive Power C</v>
      </c>
      <c r="C25">
        <f t="shared" si="1"/>
        <v>93</v>
      </c>
      <c r="D25">
        <v>4</v>
      </c>
    </row>
    <row r="26" spans="1:7" x14ac:dyDescent="0.25">
      <c r="A26" s="4"/>
      <c r="B26" t="str">
        <f>CONCATENATE($X$9," ",$U$10," ",W7)</f>
        <v>Apparent Power A</v>
      </c>
      <c r="C26">
        <f t="shared" si="1"/>
        <v>97</v>
      </c>
      <c r="D26">
        <v>4</v>
      </c>
    </row>
    <row r="27" spans="1:7" x14ac:dyDescent="0.25">
      <c r="A27" s="4"/>
      <c r="B27" t="str">
        <f>CONCATENATE($X$9," ",$U$10," ",W8)</f>
        <v>Apparent Power B</v>
      </c>
      <c r="C27">
        <f t="shared" si="1"/>
        <v>101</v>
      </c>
      <c r="D27">
        <v>4</v>
      </c>
    </row>
    <row r="28" spans="1:7" x14ac:dyDescent="0.25">
      <c r="A28" s="4"/>
      <c r="B28" t="str">
        <f>CONCATENATE($X$9," ",$U$10," ",W9)</f>
        <v>Apparent Power C</v>
      </c>
      <c r="C28">
        <f t="shared" si="1"/>
        <v>105</v>
      </c>
      <c r="D28">
        <v>4</v>
      </c>
    </row>
    <row r="29" spans="1:7" x14ac:dyDescent="0.25">
      <c r="A29" s="4"/>
      <c r="B29" t="str">
        <f>CONCATENATE($U$10," ",$X$10," ",W7)</f>
        <v>Power Factor A</v>
      </c>
      <c r="C29">
        <f t="shared" si="1"/>
        <v>109</v>
      </c>
      <c r="D29">
        <v>4</v>
      </c>
    </row>
    <row r="30" spans="1:7" x14ac:dyDescent="0.25">
      <c r="A30" s="4"/>
      <c r="B30" t="str">
        <f>CONCATENATE($U$10," ",$X$10," ",W8)</f>
        <v>Power Factor B</v>
      </c>
      <c r="C30">
        <f t="shared" si="1"/>
        <v>113</v>
      </c>
      <c r="D30">
        <v>4</v>
      </c>
    </row>
    <row r="31" spans="1:7" x14ac:dyDescent="0.25">
      <c r="A31" s="4"/>
      <c r="B31" t="str">
        <f>CONCATENATE($U$10," ",$X$10," ",W9)</f>
        <v>Power Factor C</v>
      </c>
      <c r="C31">
        <f t="shared" si="1"/>
        <v>117</v>
      </c>
      <c r="D31">
        <v>4</v>
      </c>
    </row>
    <row r="32" spans="1:7" x14ac:dyDescent="0.25">
      <c r="A32" s="4" t="s">
        <v>28</v>
      </c>
      <c r="B32" t="str">
        <f>CONCATENATE($Y$7," ",$X$7," ",$U$11," ",W7)</f>
        <v>Pos Active Energy A</v>
      </c>
      <c r="C32">
        <f t="shared" si="1"/>
        <v>121</v>
      </c>
      <c r="D32">
        <v>4</v>
      </c>
    </row>
    <row r="33" spans="1:4" x14ac:dyDescent="0.25">
      <c r="A33" s="4"/>
      <c r="B33" t="str">
        <f>CONCATENATE($Y$7," ",$X$7," ",$U$11," ",W8)</f>
        <v>Pos Active Energy B</v>
      </c>
      <c r="C33">
        <f t="shared" si="1"/>
        <v>125</v>
      </c>
      <c r="D33">
        <v>4</v>
      </c>
    </row>
    <row r="34" spans="1:4" x14ac:dyDescent="0.25">
      <c r="A34" s="4"/>
      <c r="B34" t="str">
        <f>CONCATENATE($Y$7," ",$X$7," ",$U$11," ",W9)</f>
        <v>Pos Active Energy C</v>
      </c>
      <c r="C34">
        <f t="shared" si="1"/>
        <v>129</v>
      </c>
      <c r="D34">
        <v>4</v>
      </c>
    </row>
    <row r="35" spans="1:4" x14ac:dyDescent="0.25">
      <c r="A35" s="4"/>
      <c r="B35" t="str">
        <f>CONCATENATE($Y$8," ",$X$7," ",$U$11," ",W7)</f>
        <v>Neg Active Energy A</v>
      </c>
      <c r="C35">
        <f t="shared" si="1"/>
        <v>133</v>
      </c>
      <c r="D35">
        <v>4</v>
      </c>
    </row>
    <row r="36" spans="1:4" x14ac:dyDescent="0.25">
      <c r="A36" s="4"/>
      <c r="B36" t="str">
        <f>CONCATENATE($Y$8," ",$X$7," ",$U$11," ",W8)</f>
        <v>Neg Active Energy B</v>
      </c>
      <c r="C36">
        <f t="shared" si="1"/>
        <v>137</v>
      </c>
      <c r="D36">
        <v>4</v>
      </c>
    </row>
    <row r="37" spans="1:4" x14ac:dyDescent="0.25">
      <c r="A37" s="4"/>
      <c r="B37" t="str">
        <f>CONCATENATE($Y$8," ",$X$7," ",$U$11," ",W9)</f>
        <v>Neg Active Energy C</v>
      </c>
      <c r="C37">
        <f t="shared" si="1"/>
        <v>141</v>
      </c>
      <c r="D37">
        <v>4</v>
      </c>
    </row>
    <row r="38" spans="1:4" ht="18.75" x14ac:dyDescent="0.3">
      <c r="A38" s="5" t="s">
        <v>24</v>
      </c>
      <c r="B38" s="5"/>
      <c r="C38">
        <f t="shared" si="1"/>
        <v>145</v>
      </c>
      <c r="D38">
        <v>4</v>
      </c>
    </row>
    <row r="39" spans="1:4" x14ac:dyDescent="0.25">
      <c r="A39" s="14" t="s">
        <v>38</v>
      </c>
      <c r="B39" t="str">
        <f>CONCATENATE($U$12," ",W7)</f>
        <v>Angle A</v>
      </c>
      <c r="C39">
        <f t="shared" si="1"/>
        <v>149</v>
      </c>
      <c r="D39">
        <v>4</v>
      </c>
    </row>
    <row r="40" spans="1:4" x14ac:dyDescent="0.25">
      <c r="A40" s="14"/>
      <c r="B40" t="str">
        <f t="shared" ref="B40:B41" si="2">CONCATENATE($U$12," ",W8)</f>
        <v>Angle B</v>
      </c>
      <c r="C40">
        <f t="shared" si="1"/>
        <v>153</v>
      </c>
      <c r="D40">
        <v>4</v>
      </c>
    </row>
    <row r="41" spans="1:4" x14ac:dyDescent="0.25">
      <c r="A41" s="14"/>
      <c r="B41" t="str">
        <f t="shared" si="2"/>
        <v>Angle C</v>
      </c>
      <c r="C41">
        <f t="shared" si="1"/>
        <v>157</v>
      </c>
      <c r="D41">
        <v>4</v>
      </c>
    </row>
  </sheetData>
  <mergeCells count="6">
    <mergeCell ref="A39:A41"/>
    <mergeCell ref="A2:A19"/>
    <mergeCell ref="A20:A31"/>
    <mergeCell ref="A32:A37"/>
    <mergeCell ref="A38:B38"/>
    <mergeCell ref="F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Existing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</dc:creator>
  <cp:lastModifiedBy>eSpark</cp:lastModifiedBy>
  <dcterms:created xsi:type="dcterms:W3CDTF">2025-07-31T16:39:29Z</dcterms:created>
  <dcterms:modified xsi:type="dcterms:W3CDTF">2025-07-31T19:53:03Z</dcterms:modified>
</cp:coreProperties>
</file>